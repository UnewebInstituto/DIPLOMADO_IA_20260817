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ación 2D vs embedding" sheetId="1" state="visible" r:id="rId3"/>
    <sheet name="Diferencias clave" sheetId="2" state="visible" r:id="rId4"/>
    <sheet name="Calculadora 2D" sheetId="3" state="visible" r:id="rId5"/>
    <sheet name="Coseno entre vector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<sst xmlns="http://schemas.openxmlformats.org/spreadsheetml/2006/main" count="89" uniqueCount="79">
  <si>
    <t xml:space="preserve">Descripción de un vector: plano 2D frente a un embedding</t>
  </si>
  <si>
    <t xml:space="preserve">Un embedding es un vector como los del plano, generalizado a muchas dimensiones (384 en paraphrase-multilingual-MiniLM-L12-v2).</t>
  </si>
  <si>
    <t xml:space="preserve">Concepto en 2D</t>
  </si>
  <si>
    <t xml:space="preserve">En un embedding de 384 dimensiones</t>
  </si>
  <si>
    <t xml:space="preserve">Componentes (x, y)</t>
  </si>
  <si>
    <t xml:space="preserve">384 componentes: [0.12, -0.03, 0.41, ...]</t>
  </si>
  <si>
    <t xml:space="preserve">Magnitud</t>
  </si>
  <si>
    <t xml:space="preserve">√(c₁² + c₂² + … + c₃₈₄²): la misma fórmula, con más términos</t>
  </si>
  <si>
    <t xml:space="preserve">Ángulo</t>
  </si>
  <si>
    <t xml:space="preserve">Ya no hay un único ángulo absoluto: solo existe el ángulo entre dos vectores</t>
  </si>
  <si>
    <t xml:space="preserve">Dirección</t>
  </si>
  <si>
    <t xml:space="preserve">Es lo que codifica el significado</t>
  </si>
  <si>
    <t xml:space="preserve">Conversión entre las dos descripciones 2D (cartesiana y polar):</t>
  </si>
  <si>
    <t xml:space="preserve">magnitud = √(x² + y²)</t>
  </si>
  <si>
    <t xml:space="preserve">ángulo = arctan(y / x)</t>
  </si>
  <si>
    <t xml:space="preserve">x = magnitud · cos(ángulo)</t>
  </si>
  <si>
    <t xml:space="preserve">y = magnitud · sen(ángulo)</t>
  </si>
  <si>
    <t xml:space="preserve">Diferencias importantes respecto al plano</t>
  </si>
  <si>
    <t xml:space="preserve">N.º</t>
  </si>
  <si>
    <t xml:space="preserve">Idea</t>
  </si>
  <si>
    <t xml:space="preserve">Explicación</t>
  </si>
  <si>
    <t xml:space="preserve">Los componentes no tienen significado individual</t>
  </si>
  <si>
    <t xml:space="preserve">En el plano, x puede ser 'este' e y 'norte'. En un embedding, el componente 57 no significa 'formalidad' ni 'tema financiero': el significado está distribuido en la combinación de los 384 valores, que la red neuronal aprendió durante el entrenamiento.</t>
  </si>
  <si>
    <t xml:space="preserve">La magnitud casi no importa</t>
  </si>
  <si>
    <t xml:space="preserve">Con normalize_embeddings=True todos los vectores quedan con magnitud 1. Se descarta la longitud, que depende de factores poco relacionados con el significado, y se compara solo la dirección.</t>
  </si>
  <si>
    <t xml:space="preserve">El ángulo se mide entre pares</t>
  </si>
  <si>
    <t xml:space="preserve">No se habla del 'ángulo del vector', sino del ángulo entre dos vectores, que es lo que mide la similitud coseno: cos(θ) = A·B / (‖A‖·‖B‖). Ángulo pequeño (coseno cercano a 1) = significados parecidos.</t>
  </si>
  <si>
    <t xml:space="preserve">Cómo se interpreta en el modelo</t>
  </si>
  <si>
    <t xml:space="preserve">Un texto se representa como un punto (o flecha desde el origen) en un espacio de 384 dimensiones. Textos con significado parecido apuntan en direcciones cercanas; textos sin relación apuntan en direcciones muy distintas (ángulo cercano a 90°, coseno cercano a 0).</t>
  </si>
  <si>
    <t xml:space="preserve">La búsqueda semántica es, en el fondo, geometría: calcular qué fragmentos apuntan en una dirección más parecida a la de la pregunta.</t>
  </si>
  <si>
    <t xml:space="preserve">Analogía</t>
  </si>
  <si>
    <t xml:space="preserve">Como una brújula: dos personas que caminan hacia el norte van en la misma dirección aunque una haya recorrido más distancia (magnitud). Los embeddings funcionan igual, pero en un espacio con 384 'puntos cardinales' que el modelo inventó para organizar el significado.</t>
  </si>
  <si>
    <t xml:space="preserve">Calculadora de vectores en 2D: cartesiana ↔ polar</t>
  </si>
  <si>
    <t xml:space="preserve">Leyenda: edite solo las celdas con texto azul y fondo amarillo. Los valores iniciales (3, 4) y (5; 53,13°) son ejemplos.</t>
  </si>
  <si>
    <t xml:space="preserve">Cartesiana → polar</t>
  </si>
  <si>
    <t xml:space="preserve">Valor</t>
  </si>
  <si>
    <t xml:space="preserve">Cómo se calcula</t>
  </si>
  <si>
    <t xml:space="preserve">Componente x</t>
  </si>
  <si>
    <t xml:space="preserve">Dato de entrada</t>
  </si>
  <si>
    <t xml:space="preserve">Componente y</t>
  </si>
  <si>
    <t xml:space="preserve">√(x² + y²)</t>
  </si>
  <si>
    <t xml:space="preserve">Ángulo (grados)</t>
  </si>
  <si>
    <t xml:space="preserve">arctan(y / x), medido desde el eje x</t>
  </si>
  <si>
    <t xml:space="preserve">Vector unitario: x</t>
  </si>
  <si>
    <t xml:space="preserve">x ÷ magnitud (normalización)</t>
  </si>
  <si>
    <t xml:space="preserve">Vector unitario: y</t>
  </si>
  <si>
    <t xml:space="preserve">y ÷ magnitud (normalización)</t>
  </si>
  <si>
    <t xml:space="preserve">Magnitud del vector unitario</t>
  </si>
  <si>
    <t xml:space="preserve">Siempre 1 si el vector no es nulo</t>
  </si>
  <si>
    <t xml:space="preserve">Polar → cartesiana</t>
  </si>
  <si>
    <t xml:space="preserve">magnitud · cos(ángulo)</t>
  </si>
  <si>
    <t xml:space="preserve">magnitud · sen(ángulo)</t>
  </si>
  <si>
    <t xml:space="preserve">Nota: el ejemplo 53,13° es el ángulo del vector (3, 4); por eso la conversión de vuelta devuelve aproximadamente x = 3 e y = 4.</t>
  </si>
  <si>
    <t xml:space="preserve">Ángulo entre vectores: similitud coseno y distancia euclídea</t>
  </si>
  <si>
    <t xml:space="preserve">Leyenda: edite las celdas con texto azul y fondo amarillo (hasta 6 dimensiones; las no usadas se dejan en 0). Ejemplo: A = [1,2,0], B = [2,4,0], C = [0,0,5], el mismo de la teoría.</t>
  </si>
  <si>
    <t xml:space="preserve">Dimensión</t>
  </si>
  <si>
    <t xml:space="preserve">Vector A</t>
  </si>
  <si>
    <t xml:space="preserve">Vector B</t>
  </si>
  <si>
    <t xml:space="preserve">Vector C</t>
  </si>
  <si>
    <t xml:space="preserve">Dimensión 1</t>
  </si>
  <si>
    <t xml:space="preserve">Dimensión 2</t>
  </si>
  <si>
    <t xml:space="preserve">Dimensión 3</t>
  </si>
  <si>
    <t xml:space="preserve">Dimensión 4</t>
  </si>
  <si>
    <t xml:space="preserve">Dimensión 5</t>
  </si>
  <si>
    <t xml:space="preserve">Dimensión 6</t>
  </si>
  <si>
    <t xml:space="preserve">Magnitud ‖v‖</t>
  </si>
  <si>
    <t xml:space="preserve">Par</t>
  </si>
  <si>
    <t xml:space="preserve">Producto punto</t>
  </si>
  <si>
    <t xml:space="preserve">Coseno</t>
  </si>
  <si>
    <t xml:space="preserve">Ángulo (°)</t>
  </si>
  <si>
    <t xml:space="preserve">Distancia euclídea</t>
  </si>
  <si>
    <t xml:space="preserve">Lectura orientativa</t>
  </si>
  <si>
    <t xml:space="preserve">A y B</t>
  </si>
  <si>
    <t xml:space="preserve">A y C</t>
  </si>
  <si>
    <t xml:space="preserve">B y C</t>
  </si>
  <si>
    <t xml:space="preserve">Fórmulas: coseno = A·B / (‖A‖·‖B‖); ángulo = arccos(coseno); distancia = √Σ(aᵢ − bᵢ)².</t>
  </si>
  <si>
    <t xml:space="preserve">Supuesto: los umbrales de la columna 'Lectura orientativa' (0,9; 0,3; -0,3) son una guía didáctica propia, no un estándar; los valores útiles dependen del modelo y de los datos.</t>
  </si>
  <si>
    <t xml:space="preserve">Con vectores normalizados (magnitud 1) el producto punto coincide con el coseno.</t>
  </si>
  <si>
    <t xml:space="preserve">Si una magnitud es 0 (vector nulo), el coseno se muestra como 0 para evitar dividir entre cero.</t>
  </si>
</sst>
</file>

<file path=xl/styles.xml><?xml version="1.0" encoding="utf-8"?>
<styleSheet xmlns="http://schemas.openxmlformats.org/spreadsheetml/2006/main">
  <numFmts count="4">
    <numFmt numFmtId="164" formatCode="General"/>
    <numFmt numFmtId="165" formatCode="0.000"/>
    <numFmt numFmtId="166" formatCode="0.00"/>
    <numFmt numFmtId="167"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color rgb="FFFFFFFF"/>
      <name val="Arial"/>
      <family val="0"/>
      <charset val="1"/>
    </font>
    <font>
      <sz val="10"/>
      <name val="Arial"/>
      <family val="0"/>
      <charset val="1"/>
    </font>
    <font>
      <b val="true"/>
      <sz val="10"/>
      <name val="Arial"/>
      <family val="0"/>
      <charset val="1"/>
    </font>
    <font>
      <sz val="10"/>
      <color rgb="FF0000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31.5" hidden="false" customHeight="true" outlineLevel="0" collapsed="false">
      <c r="A5" s="4" t="s">
        <v>4</v>
      </c>
      <c r="B5" s="4" t="s">
        <v>5</v>
      </c>
    </row>
    <row r="6" customFormat="false" ht="31.5" hidden="false" customHeight="true" outlineLevel="0" collapsed="false">
      <c r="A6" s="4" t="s">
        <v>6</v>
      </c>
      <c r="B6" s="4" t="s">
        <v>7</v>
      </c>
    </row>
    <row r="7" customFormat="false" ht="31.5" hidden="false" customHeight="true" outlineLevel="0" collapsed="false">
      <c r="A7" s="4" t="s">
        <v>8</v>
      </c>
      <c r="B7" s="4" t="s">
        <v>9</v>
      </c>
    </row>
    <row r="8" customFormat="false" ht="31.5" hidden="false" customHeight="true" outlineLevel="0" collapsed="false">
      <c r="A8" s="4" t="s">
        <v>10</v>
      </c>
      <c r="B8" s="4" t="s">
        <v>11</v>
      </c>
    </row>
    <row r="10" customFormat="false" ht="15" hidden="false" customHeight="false" outlineLevel="0" collapsed="false">
      <c r="A10" s="5" t="s">
        <v>12</v>
      </c>
    </row>
    <row r="11" customFormat="false" ht="15" hidden="false" customHeight="false" outlineLevel="0" collapsed="false">
      <c r="A11" s="6" t="s">
        <v>13</v>
      </c>
    </row>
    <row r="12" customFormat="false" ht="15" hidden="false" customHeight="false" outlineLevel="0" collapsed="false">
      <c r="A12" s="6" t="s">
        <v>14</v>
      </c>
    </row>
    <row r="13" customFormat="false" ht="15" hidden="false" customHeight="false" outlineLevel="0" collapsed="false">
      <c r="A13" s="6" t="s">
        <v>15</v>
      </c>
    </row>
    <row r="14" customFormat="false" ht="15" hidden="false" customHeight="false" outlineLevel="0" collapsed="false">
      <c r="A14" s="6"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90"/>
  </cols>
  <sheetData>
    <row r="1" customFormat="false" ht="17.35" hidden="false" customHeight="false" outlineLevel="0" collapsed="false">
      <c r="A1" s="1" t="s">
        <v>17</v>
      </c>
    </row>
    <row r="3" customFormat="false" ht="15" hidden="false" customHeight="false" outlineLevel="0" collapsed="false">
      <c r="A3" s="3" t="s">
        <v>18</v>
      </c>
      <c r="B3" s="3" t="s">
        <v>19</v>
      </c>
      <c r="C3" s="3" t="s">
        <v>20</v>
      </c>
    </row>
    <row r="4" customFormat="false" ht="78" hidden="false" customHeight="true" outlineLevel="0" collapsed="false">
      <c r="A4" s="7" t="n">
        <v>1</v>
      </c>
      <c r="B4" s="8" t="s">
        <v>21</v>
      </c>
      <c r="C4" s="4" t="s">
        <v>22</v>
      </c>
    </row>
    <row r="5" customFormat="false" ht="78" hidden="false" customHeight="true" outlineLevel="0" collapsed="false">
      <c r="A5" s="7" t="n">
        <v>2</v>
      </c>
      <c r="B5" s="8" t="s">
        <v>23</v>
      </c>
      <c r="C5" s="4" t="s">
        <v>24</v>
      </c>
    </row>
    <row r="6" customFormat="false" ht="78" hidden="false" customHeight="true" outlineLevel="0" collapsed="false">
      <c r="A6" s="7" t="n">
        <v>3</v>
      </c>
      <c r="B6" s="8" t="s">
        <v>25</v>
      </c>
      <c r="C6" s="4" t="s">
        <v>26</v>
      </c>
    </row>
    <row r="8" customFormat="false" ht="15" hidden="false" customHeight="false" outlineLevel="0" collapsed="false">
      <c r="A8" s="5" t="s">
        <v>27</v>
      </c>
    </row>
    <row r="9" customFormat="false" ht="48" hidden="false" customHeight="true" outlineLevel="0" collapsed="false">
      <c r="A9" s="9" t="s">
        <v>28</v>
      </c>
      <c r="B9" s="9"/>
      <c r="C9" s="9"/>
    </row>
    <row r="10" customFormat="false" ht="31.5" hidden="false" customHeight="true" outlineLevel="0" collapsed="false">
      <c r="A10" s="9" t="s">
        <v>29</v>
      </c>
      <c r="B10" s="9"/>
      <c r="C10" s="9"/>
    </row>
    <row r="12" customFormat="false" ht="15" hidden="false" customHeight="false" outlineLevel="0" collapsed="false">
      <c r="A12" s="5" t="s">
        <v>30</v>
      </c>
    </row>
    <row r="13" customFormat="false" ht="48" hidden="false" customHeight="true" outlineLevel="0" collapsed="false">
      <c r="A13" s="9" t="s">
        <v>31</v>
      </c>
      <c r="B13" s="9"/>
      <c r="C13" s="9"/>
    </row>
  </sheetData>
  <mergeCells count="3">
    <mergeCell ref="A9:C9"/>
    <mergeCell ref="A10:C10"/>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3" min="3" style="0" width="48"/>
  </cols>
  <sheetData>
    <row r="1" customFormat="false" ht="17.35" hidden="false" customHeight="false" outlineLevel="0" collapsed="false">
      <c r="A1" s="1" t="s">
        <v>32</v>
      </c>
    </row>
    <row r="2" customFormat="false" ht="15" hidden="false" customHeight="false" outlineLevel="0" collapsed="false">
      <c r="A2" s="2" t="s">
        <v>33</v>
      </c>
    </row>
    <row r="4" customFormat="false" ht="15" hidden="false" customHeight="false" outlineLevel="0" collapsed="false">
      <c r="A4" s="3" t="s">
        <v>34</v>
      </c>
      <c r="B4" s="3" t="s">
        <v>35</v>
      </c>
      <c r="C4" s="3" t="s">
        <v>36</v>
      </c>
    </row>
    <row r="5" customFormat="false" ht="15" hidden="false" customHeight="false" outlineLevel="0" collapsed="false">
      <c r="A5" s="4" t="s">
        <v>37</v>
      </c>
      <c r="B5" s="10" t="n">
        <v>3</v>
      </c>
      <c r="C5" s="4" t="s">
        <v>38</v>
      </c>
    </row>
    <row r="6" customFormat="false" ht="15" hidden="false" customHeight="false" outlineLevel="0" collapsed="false">
      <c r="A6" s="4" t="s">
        <v>39</v>
      </c>
      <c r="B6" s="10" t="n">
        <v>4</v>
      </c>
      <c r="C6" s="4" t="s">
        <v>38</v>
      </c>
    </row>
    <row r="7" customFormat="false" ht="15" hidden="false" customHeight="false" outlineLevel="0" collapsed="false">
      <c r="A7" s="4" t="s">
        <v>6</v>
      </c>
      <c r="B7" s="11" t="n">
        <f aca="false">SQRT(B5^2+B6^2)</f>
        <v>5</v>
      </c>
      <c r="C7" s="4" t="s">
        <v>40</v>
      </c>
    </row>
    <row r="8" customFormat="false" ht="15" hidden="false" customHeight="false" outlineLevel="0" collapsed="false">
      <c r="A8" s="4" t="s">
        <v>41</v>
      </c>
      <c r="B8" s="12" t="n">
        <f aca="false">DEGREES(ATAN2(B5,B6))</f>
        <v>53.130102354156</v>
      </c>
      <c r="C8" s="4" t="s">
        <v>42</v>
      </c>
    </row>
    <row r="9" customFormat="false" ht="15" hidden="false" customHeight="false" outlineLevel="0" collapsed="false">
      <c r="A9" s="4" t="s">
        <v>43</v>
      </c>
      <c r="B9" s="11" t="n">
        <f aca="false">IF(B7=0,0,B5/B7)</f>
        <v>0.6</v>
      </c>
      <c r="C9" s="4" t="s">
        <v>44</v>
      </c>
    </row>
    <row r="10" customFormat="false" ht="15" hidden="false" customHeight="false" outlineLevel="0" collapsed="false">
      <c r="A10" s="4" t="s">
        <v>45</v>
      </c>
      <c r="B10" s="11" t="n">
        <f aca="false">IF(B7=0,0,B6/B7)</f>
        <v>0.8</v>
      </c>
      <c r="C10" s="4" t="s">
        <v>46</v>
      </c>
    </row>
    <row r="11" customFormat="false" ht="15" hidden="false" customHeight="false" outlineLevel="0" collapsed="false">
      <c r="A11" s="4" t="s">
        <v>47</v>
      </c>
      <c r="B11" s="11" t="n">
        <f aca="false">SQRT(B9^2+B10^2)</f>
        <v>1</v>
      </c>
      <c r="C11" s="4" t="s">
        <v>48</v>
      </c>
    </row>
    <row r="13" customFormat="false" ht="15" hidden="false" customHeight="false" outlineLevel="0" collapsed="false">
      <c r="A13" s="3" t="s">
        <v>49</v>
      </c>
      <c r="B13" s="3" t="s">
        <v>35</v>
      </c>
      <c r="C13" s="3" t="s">
        <v>36</v>
      </c>
    </row>
    <row r="14" customFormat="false" ht="15" hidden="false" customHeight="false" outlineLevel="0" collapsed="false">
      <c r="A14" s="4" t="s">
        <v>6</v>
      </c>
      <c r="B14" s="10" t="n">
        <v>5</v>
      </c>
      <c r="C14" s="4" t="s">
        <v>38</v>
      </c>
    </row>
    <row r="15" customFormat="false" ht="15" hidden="false" customHeight="false" outlineLevel="0" collapsed="false">
      <c r="A15" s="4" t="s">
        <v>41</v>
      </c>
      <c r="B15" s="10" t="n">
        <v>53.13</v>
      </c>
      <c r="C15" s="4" t="s">
        <v>38</v>
      </c>
    </row>
    <row r="16" customFormat="false" ht="15" hidden="false" customHeight="false" outlineLevel="0" collapsed="false">
      <c r="A16" s="4" t="s">
        <v>37</v>
      </c>
      <c r="B16" s="11" t="n">
        <f aca="false">B14*COS(RADIANS(B15))</f>
        <v>3.00000714566331</v>
      </c>
      <c r="C16" s="4" t="s">
        <v>50</v>
      </c>
    </row>
    <row r="17" customFormat="false" ht="15" hidden="false" customHeight="false" outlineLevel="0" collapsed="false">
      <c r="A17" s="4" t="s">
        <v>39</v>
      </c>
      <c r="B17" s="11" t="n">
        <f aca="false">B14*SIN(RADIANS(B15))</f>
        <v>3.99999464074254</v>
      </c>
      <c r="C17" s="4" t="s">
        <v>51</v>
      </c>
    </row>
    <row r="19" customFormat="false" ht="15" hidden="false" customHeight="false" outlineLevel="0" collapsed="false">
      <c r="A19" s="2"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4" min="3" style="0" width="14"/>
    <col collapsed="false" customWidth="true" hidden="false" outlineLevel="0" max="5" min="5" style="0" width="20"/>
    <col collapsed="false" customWidth="true" hidden="false" outlineLevel="0" max="6" min="6" style="0" width="26"/>
  </cols>
  <sheetData>
    <row r="1" customFormat="false" ht="17.35" hidden="false" customHeight="false" outlineLevel="0" collapsed="false">
      <c r="A1" s="1" t="s">
        <v>53</v>
      </c>
    </row>
    <row r="2" customFormat="false" ht="15" hidden="false" customHeight="false" outlineLevel="0" collapsed="false">
      <c r="A2" s="2" t="s">
        <v>54</v>
      </c>
    </row>
    <row r="4" customFormat="false" ht="15" hidden="false" customHeight="false" outlineLevel="0" collapsed="false">
      <c r="A4" s="3" t="s">
        <v>55</v>
      </c>
      <c r="B4" s="3" t="s">
        <v>56</v>
      </c>
      <c r="C4" s="3" t="s">
        <v>57</v>
      </c>
      <c r="D4" s="3" t="s">
        <v>58</v>
      </c>
    </row>
    <row r="5" customFormat="false" ht="15" hidden="false" customHeight="false" outlineLevel="0" collapsed="false">
      <c r="A5" s="13" t="s">
        <v>59</v>
      </c>
      <c r="B5" s="10" t="n">
        <v>1</v>
      </c>
      <c r="C5" s="10" t="n">
        <v>2</v>
      </c>
      <c r="D5" s="10" t="n">
        <v>0</v>
      </c>
    </row>
    <row r="6" customFormat="false" ht="15" hidden="false" customHeight="false" outlineLevel="0" collapsed="false">
      <c r="A6" s="13" t="s">
        <v>60</v>
      </c>
      <c r="B6" s="10" t="n">
        <v>2</v>
      </c>
      <c r="C6" s="10" t="n">
        <v>4</v>
      </c>
      <c r="D6" s="10" t="n">
        <v>0</v>
      </c>
    </row>
    <row r="7" customFormat="false" ht="15" hidden="false" customHeight="false" outlineLevel="0" collapsed="false">
      <c r="A7" s="13" t="s">
        <v>61</v>
      </c>
      <c r="B7" s="10" t="n">
        <v>0</v>
      </c>
      <c r="C7" s="10" t="n">
        <v>0</v>
      </c>
      <c r="D7" s="10" t="n">
        <v>5</v>
      </c>
    </row>
    <row r="8" customFormat="false" ht="15" hidden="false" customHeight="false" outlineLevel="0" collapsed="false">
      <c r="A8" s="13" t="s">
        <v>62</v>
      </c>
      <c r="B8" s="10" t="n">
        <v>0</v>
      </c>
      <c r="C8" s="10" t="n">
        <v>0</v>
      </c>
      <c r="D8" s="10" t="n">
        <v>0</v>
      </c>
    </row>
    <row r="9" customFormat="false" ht="15" hidden="false" customHeight="false" outlineLevel="0" collapsed="false">
      <c r="A9" s="13" t="s">
        <v>63</v>
      </c>
      <c r="B9" s="10" t="n">
        <v>0</v>
      </c>
      <c r="C9" s="10" t="n">
        <v>0</v>
      </c>
      <c r="D9" s="10" t="n">
        <v>0</v>
      </c>
    </row>
    <row r="10" customFormat="false" ht="15" hidden="false" customHeight="false" outlineLevel="0" collapsed="false">
      <c r="A10" s="13" t="s">
        <v>64</v>
      </c>
      <c r="B10" s="10" t="n">
        <v>0</v>
      </c>
      <c r="C10" s="10" t="n">
        <v>0</v>
      </c>
      <c r="D10" s="10" t="n">
        <v>0</v>
      </c>
    </row>
    <row r="11" customFormat="false" ht="15" hidden="false" customHeight="false" outlineLevel="0" collapsed="false">
      <c r="A11" s="14" t="s">
        <v>65</v>
      </c>
      <c r="B11" s="15" t="n">
        <f aca="false">SQRT(SUMSQ(B5:B10))</f>
        <v>2.23606797749979</v>
      </c>
      <c r="C11" s="15" t="n">
        <f aca="false">SQRT(SUMSQ(C5:C10))</f>
        <v>4.47213595499958</v>
      </c>
      <c r="D11" s="15" t="n">
        <f aca="false">SQRT(SUMSQ(D5:D10))</f>
        <v>5</v>
      </c>
    </row>
    <row r="13" customFormat="false" ht="15" hidden="false" customHeight="false" outlineLevel="0" collapsed="false">
      <c r="A13" s="3" t="s">
        <v>66</v>
      </c>
      <c r="B13" s="3" t="s">
        <v>67</v>
      </c>
      <c r="C13" s="3" t="s">
        <v>68</v>
      </c>
      <c r="D13" s="3" t="s">
        <v>69</v>
      </c>
      <c r="E13" s="3" t="s">
        <v>70</v>
      </c>
      <c r="F13" s="3" t="s">
        <v>71</v>
      </c>
    </row>
    <row r="14" customFormat="false" ht="15" hidden="false" customHeight="false" outlineLevel="0" collapsed="false">
      <c r="A14" s="16" t="s">
        <v>72</v>
      </c>
      <c r="B14" s="17" t="n">
        <f aca="false">SUMPRODUCT(B5:B10,C5:C10)</f>
        <v>10</v>
      </c>
      <c r="C14" s="17" t="n">
        <f aca="false">IF(OR(B11=0,C11=0),0,B14/(B11*C11))</f>
        <v>1</v>
      </c>
      <c r="D14" s="18" t="n">
        <f aca="false">DEGREES(ACOS(MAX(-1,MIN(1,C14))))</f>
        <v>1.20741826972573E-006</v>
      </c>
      <c r="E14" s="17" t="n">
        <f aca="false">SQRT(SUMXMY2(B5:B10,C5:C10))</f>
        <v>2.23606797749979</v>
      </c>
      <c r="F14" s="16" t="str">
        <f aca="false">IF(C14&gt;=0.9,"Significado muy similar",IF(C14&gt;0.3,"Relación parcial",IF(C14&gt;-0.3,"Sin relación","Opuestos")))</f>
        <v>Significado muy similar</v>
      </c>
    </row>
    <row r="15" customFormat="false" ht="15" hidden="false" customHeight="false" outlineLevel="0" collapsed="false">
      <c r="A15" s="16" t="s">
        <v>73</v>
      </c>
      <c r="B15" s="17" t="n">
        <f aca="false">SUMPRODUCT(B5:B10,D5:D10)</f>
        <v>0</v>
      </c>
      <c r="C15" s="17" t="n">
        <f aca="false">IF(OR(B11=0,D11=0),0,B15/(B11*D11))</f>
        <v>0</v>
      </c>
      <c r="D15" s="18" t="n">
        <f aca="false">DEGREES(ACOS(MAX(-1,MIN(1,C15))))</f>
        <v>90</v>
      </c>
      <c r="E15" s="17" t="n">
        <f aca="false">SQRT(SUMXMY2(B5:B10,D5:D10))</f>
        <v>5.47722557505166</v>
      </c>
      <c r="F15" s="16" t="str">
        <f aca="false">IF(C15&gt;=0.9,"Significado muy similar",IF(C15&gt;0.3,"Relación parcial",IF(C15&gt;-0.3,"Sin relación","Opuestos")))</f>
        <v>Sin relación</v>
      </c>
    </row>
    <row r="16" customFormat="false" ht="15" hidden="false" customHeight="false" outlineLevel="0" collapsed="false">
      <c r="A16" s="16" t="s">
        <v>74</v>
      </c>
      <c r="B16" s="17" t="n">
        <f aca="false">SUMPRODUCT(C5:C10,D5:D10)</f>
        <v>0</v>
      </c>
      <c r="C16" s="17" t="n">
        <f aca="false">IF(OR(C11=0,D11=0),0,B16/(C11*D11))</f>
        <v>0</v>
      </c>
      <c r="D16" s="18" t="n">
        <f aca="false">DEGREES(ACOS(MAX(-1,MIN(1,C16))))</f>
        <v>90</v>
      </c>
      <c r="E16" s="17" t="n">
        <f aca="false">SQRT(SUMXMY2(C5:C10,D5:D10))</f>
        <v>6.70820393249937</v>
      </c>
      <c r="F16" s="16" t="str">
        <f aca="false">IF(C16&gt;=0.9,"Significado muy similar",IF(C16&gt;0.3,"Relación parcial",IF(C16&gt;-0.3,"Sin relación","Opuestos")))</f>
        <v>Sin relación</v>
      </c>
    </row>
    <row r="18" customFormat="false" ht="15" hidden="false" customHeight="false" outlineLevel="0" collapsed="false">
      <c r="A18" s="2" t="s">
        <v>75</v>
      </c>
    </row>
    <row r="19" customFormat="false" ht="15" hidden="false" customHeight="false" outlineLevel="0" collapsed="false">
      <c r="A19" s="2" t="s">
        <v>76</v>
      </c>
    </row>
    <row r="20" customFormat="false" ht="15" hidden="false" customHeight="false" outlineLevel="0" collapsed="false">
      <c r="A20" s="2" t="s">
        <v>77</v>
      </c>
    </row>
    <row r="21" customFormat="false" ht="15" hidden="false" customHeight="false" outlineLevel="0" collapsed="false">
      <c r="A21" s="2"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2026-10-25T18:34:33Z</dcterms:created>
  <dc:creator>openpyxl</dc:creator>
  <dc:description/>
  <dc:language>en-US</dc:language>
  <cp:lastModifiedBy/>
  <dcterms:modified xsi:type="dcterms:W3CDTF">2026-10-25T18:34:33Z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